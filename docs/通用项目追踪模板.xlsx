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追踪总表" sheetId="1" state="visible" r:id="rId3"/>
    <sheet name="统计看板" sheetId="2" state="visible" r:id="rId4"/>
    <sheet name="使用说明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<sst xmlns="http://schemas.openxmlformats.org/spreadsheetml/2006/main" count="149" uniqueCount="103">
  <si>
    <t xml:space="preserve">项目问题追踪总表</t>
  </si>
  <si>
    <t xml:space="preserve">序号</t>
  </si>
  <si>
    <t xml:space="preserve">问题/任务名称</t>
  </si>
  <si>
    <t xml:space="preserve">详细描述</t>
  </si>
  <si>
    <t xml:space="preserve">类别</t>
  </si>
  <si>
    <t xml:space="preserve">优先级</t>
  </si>
  <si>
    <t xml:space="preserve">责任人</t>
  </si>
  <si>
    <t xml:space="preserve">计划完成日期</t>
  </si>
  <si>
    <t xml:space="preserve">实际完成日期</t>
  </si>
  <si>
    <t xml:space="preserve">状态</t>
  </si>
  <si>
    <t xml:space="preserve">进度(%)</t>
  </si>
  <si>
    <t xml:space="preserve">改善措施/解决方案</t>
  </si>
  <si>
    <t xml:space="preserve">备注</t>
  </si>
  <si>
    <t xml:space="preserve">设备运行异常报警</t>
  </si>
  <si>
    <t xml:space="preserve">产线设备A运行中频繁出现温度报警，影响生产效率</t>
  </si>
  <si>
    <t xml:space="preserve">设备</t>
  </si>
  <si>
    <t xml:space="preserve">高</t>
  </si>
  <si>
    <t xml:space="preserve">张三</t>
  </si>
  <si>
    <t xml:space="preserve">进行中</t>
  </si>
  <si>
    <t xml:space="preserve">已更换温度传感器，持续观察运行状态</t>
  </si>
  <si>
    <t xml:space="preserve">需重点关注温度变化趋势</t>
  </si>
  <si>
    <t xml:space="preserve">质量检测误判率偏高</t>
  </si>
  <si>
    <t xml:space="preserve">视觉检测系统对良品误判率超过5%，导致过度抛料</t>
  </si>
  <si>
    <t xml:space="preserve">质量</t>
  </si>
  <si>
    <t xml:space="preserve">王五</t>
  </si>
  <si>
    <t xml:space="preserve">已完成</t>
  </si>
  <si>
    <t xml:space="preserve">优化视觉检测算法参数，误判率降至1%以下</t>
  </si>
  <si>
    <t xml:space="preserve">上料流程优化</t>
  </si>
  <si>
    <t xml:space="preserve">当前上料流程步骤过多，需精简以提高效率</t>
  </si>
  <si>
    <t xml:space="preserve">流程</t>
  </si>
  <si>
    <t xml:space="preserve">中</t>
  </si>
  <si>
    <t xml:space="preserve">李四</t>
  </si>
  <si>
    <t xml:space="preserve">未开始</t>
  </si>
  <si>
    <t xml:space="preserve">待前期任务完成后启动</t>
  </si>
  <si>
    <t xml:space="preserve">项目追踪统计看板</t>
  </si>
  <si>
    <t xml:space="preserve">项目名称：</t>
  </si>
  <si>
    <t xml:space="preserve">项目负责人：</t>
  </si>
  <si>
    <t xml:space="preserve">统计日期：</t>
  </si>
  <si>
    <t xml:space="preserve">数据来源：</t>
  </si>
  <si>
    <t xml:space="preserve">追踪总表</t>
  </si>
  <si>
    <t xml:space="preserve">关键指标</t>
  </si>
  <si>
    <t xml:space="preserve">总任务数</t>
  </si>
  <si>
    <t xml:space="preserve">已延期</t>
  </si>
  <si>
    <t xml:space="preserve">完成率</t>
  </si>
  <si>
    <t xml:space="preserve">状态分布</t>
  </si>
  <si>
    <t xml:space="preserve">优先级分布</t>
  </si>
  <si>
    <t xml:space="preserve">数量</t>
  </si>
  <si>
    <t xml:space="preserve">占比</t>
  </si>
  <si>
    <t xml:space="preserve">低</t>
  </si>
  <si>
    <t xml:space="preserve">合计</t>
  </si>
  <si>
    <t xml:space="preserve">类别分布</t>
  </si>
  <si>
    <t xml:space="preserve">安全</t>
  </si>
  <si>
    <t xml:space="preserve">其他</t>
  </si>
  <si>
    <t xml:space="preserve">使用说明</t>
  </si>
  <si>
    <t xml:space="preserve">一、字段说明</t>
  </si>
  <si>
    <t xml:space="preserve">列名</t>
  </si>
  <si>
    <t xml:space="preserve">说明</t>
  </si>
  <si>
    <t xml:space="preserve">填写要求</t>
  </si>
  <si>
    <t xml:space="preserve">任务编号</t>
  </si>
  <si>
    <t xml:space="preserve">按顺序填写，如1、2、3</t>
  </si>
  <si>
    <t xml:space="preserve">问题或任务的简要标题</t>
  </si>
  <si>
    <t xml:space="preserve">必填，简洁明了，一句话概括</t>
  </si>
  <si>
    <t xml:space="preserve">问题现象、影响范围等</t>
  </si>
  <si>
    <t xml:space="preserve">详细描述问题背景和具体表现</t>
  </si>
  <si>
    <t xml:space="preserve">问题分类</t>
  </si>
  <si>
    <t xml:space="preserve">下拉选择：设备/质量/流程/安全/其他</t>
  </si>
  <si>
    <t xml:space="preserve">处理紧急程度</t>
  </si>
  <si>
    <t xml:space="preserve">下拉选择：高/中/低</t>
  </si>
  <si>
    <t xml:space="preserve">负责跟进解决的人员</t>
  </si>
  <si>
    <t xml:space="preserve">填写责任人姓名</t>
  </si>
  <si>
    <t xml:space="preserve">预期完成时间</t>
  </si>
  <si>
    <t xml:space="preserve">日期格式，如2026-08-10</t>
  </si>
  <si>
    <t xml:space="preserve">实际完成时间</t>
  </si>
  <si>
    <t xml:space="preserve">任务完成后填写</t>
  </si>
  <si>
    <t xml:space="preserve">当前处理状态</t>
  </si>
  <si>
    <t xml:space="preserve">下拉选择：未开始/进行中/已完成/已延期</t>
  </si>
  <si>
    <t xml:space="preserve">任务完成百分比</t>
  </si>
  <si>
    <t xml:space="preserve">填写0-100的整数</t>
  </si>
  <si>
    <t xml:space="preserve">已采取或计划采取的措施</t>
  </si>
  <si>
    <t xml:space="preserve">详细描述解决方案和改善行动</t>
  </si>
  <si>
    <t xml:space="preserve">其他补充信息</t>
  </si>
  <si>
    <t xml:space="preserve">填写需要注意或说明的事项</t>
  </si>
  <si>
    <t xml:space="preserve">二、状态定义</t>
  </si>
  <si>
    <t xml:space="preserve">问题已登记，尚未开始处理</t>
  </si>
  <si>
    <t xml:space="preserve">正在处理中，已有初步行动</t>
  </si>
  <si>
    <t xml:space="preserve">问题已解决，任务已关闭</t>
  </si>
  <si>
    <t xml:space="preserve">超过计划完成日期仍未完成</t>
  </si>
  <si>
    <t xml:space="preserve">三、优先级定义</t>
  </si>
  <si>
    <t xml:space="preserve">紧急且重要，需立即处理</t>
  </si>
  <si>
    <t xml:space="preserve">重要但不紧急，按计划处理</t>
  </si>
  <si>
    <t xml:space="preserve">影响较小，可在空闲时处理</t>
  </si>
  <si>
    <t xml:space="preserve">四、类别说明</t>
  </si>
  <si>
    <t xml:space="preserve">设备故障、维护、升级等相关问题</t>
  </si>
  <si>
    <t xml:space="preserve">产品质量、检测、不良率等相关问题</t>
  </si>
  <si>
    <t xml:space="preserve">工艺流程、作业标准、效率优化等相关问题</t>
  </si>
  <si>
    <t xml:space="preserve">安全隐患、安全规范等相关问题</t>
  </si>
  <si>
    <t xml:space="preserve">不属于以上类别的问题</t>
  </si>
  <si>
    <t xml:space="preserve">五、使用提示</t>
  </si>
  <si>
    <t xml:space="preserve">  1. 「追踪总表」为数据录入主表，「统计看板」自动汇总数据，「使用说明」供参考。</t>
  </si>
  <si>
    <t xml:space="preserve">  2. 类别、优先级、状态列已设置下拉菜单，请从列表中选择。</t>
  </si>
  <si>
    <t xml:space="preserve">  3. 新增任务时，直接在表格末尾添加数据即可，统计看板会自动更新。</t>
  </si>
  <si>
    <t xml:space="preserve">  4. 建议定期更新进度状态，确保追踪信息的及时性。</t>
  </si>
  <si>
    <t xml:space="preserve">  5. 状态为「已完成」时，进度应填写100，并填写实际完成日期。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</si>
</sst>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3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6"/>
      <color rgb="FFFFFFFF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sz val="10"/>
      <color rgb="FF1F2937"/>
      <name val="微软雅黑"/>
      <family val="0"/>
      <charset val="1"/>
    </font>
    <font>
      <b val="true"/>
      <sz val="10"/>
      <color rgb="FF1F4E79"/>
      <name val="微软雅黑"/>
      <family val="0"/>
      <charset val="1"/>
    </font>
    <font>
      <b val="true"/>
      <sz val="12"/>
      <color rgb="FF1F4E79"/>
      <name val="微软雅黑"/>
      <family val="0"/>
      <charset val="1"/>
    </font>
    <font>
      <b val="true"/>
      <sz val="10"/>
      <color rgb="FF4A5568"/>
      <name val="微软雅黑"/>
      <family val="0"/>
      <charset val="1"/>
    </font>
    <font>
      <b val="true"/>
      <sz val="18"/>
      <color rgb="FF1F4E79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sz val="10"/>
      <color rgb="FF6B7280"/>
      <name val="微软雅黑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4A5568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DE7"/>
      </patternFill>
    </fill>
    <fill>
      <patternFill patternType="solid">
        <fgColor rgb="FFF2F7FC"/>
        <bgColor rgb="FFEAF2FF"/>
      </patternFill>
    </fill>
    <fill>
      <patternFill patternType="solid">
        <fgColor rgb="FFFFFDE7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EAF2FF"/>
        <bgColor rgb="FFF2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微软雅黑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微软雅黑"/>
        <charset val="1"/>
        <family val="0"/>
        <b val="1"/>
        <color rgb="FF1F4E79"/>
        <sz val="10"/>
      </font>
      <fill>
        <patternFill>
          <bgColor rgb="FFBDD7EE"/>
        </patternFill>
      </fill>
    </dxf>
    <dxf>
      <font>
        <name val="微软雅黑"/>
        <charset val="1"/>
        <family val="0"/>
        <color rgb="FF808080"/>
        <sz val="10"/>
      </font>
      <fill>
        <patternFill>
          <bgColor rgb="FFD9D9D9"/>
        </patternFill>
      </fill>
    </dxf>
    <dxf>
      <font>
        <name val="微软雅黑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微软雅黑"/>
        <charset val="1"/>
        <family val="0"/>
        <b val="1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DE7"/>
      <rgbColor rgb="FFEAF2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C6EFCE"/>
      <rgbColor rgb="FFFFEB9C"/>
      <rgbColor rgb="FFD6E4F0"/>
      <rgbColor rgb="FFFF99CC"/>
      <rgbColor rgb="FFD9D9D9"/>
      <rgbColor rgb="FFFFC7CE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4A5568"/>
      <rgbColor rgb="FF9C57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0.01"/>
    <col collapsed="false" customWidth="true" hidden="false" outlineLevel="0" max="3" min="3" style="0" width="31.85"/>
    <col collapsed="false" customWidth="true" hidden="false" outlineLevel="0" max="6" min="4" style="0" width="9.1"/>
    <col collapsed="false" customWidth="true" hidden="false" outlineLevel="0" max="8" min="7" style="0" width="13.65"/>
    <col collapsed="false" customWidth="true" hidden="false" outlineLevel="0" max="9" min="9" style="0" width="10.92"/>
    <col collapsed="false" customWidth="true" hidden="false" outlineLevel="0" max="10" min="10" style="0" width="8.19"/>
    <col collapsed="false" customWidth="true" hidden="false" outlineLevel="0" max="11" min="11" style="0" width="31.85"/>
    <col collapsed="false" customWidth="true" hidden="false" outlineLevel="0" max="12" min="12" style="0" width="18.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45" hidden="false" customHeight="true" outlineLevel="0" collapsed="false">
      <c r="A3" s="3" t="n">
        <v>1</v>
      </c>
      <c r="B3" s="4" t="s">
        <v>13</v>
      </c>
      <c r="C3" s="4" t="s">
        <v>14</v>
      </c>
      <c r="D3" s="3" t="s">
        <v>15</v>
      </c>
      <c r="E3" s="3" t="s">
        <v>16</v>
      </c>
      <c r="F3" s="3" t="s">
        <v>17</v>
      </c>
      <c r="G3" s="5" t="n">
        <v>46244</v>
      </c>
      <c r="H3" s="5"/>
      <c r="I3" s="3" t="s">
        <v>18</v>
      </c>
      <c r="J3" s="3" t="n">
        <v>50</v>
      </c>
      <c r="K3" s="4" t="s">
        <v>19</v>
      </c>
      <c r="L3" s="4" t="s">
        <v>20</v>
      </c>
    </row>
    <row r="4" customFormat="false" ht="45" hidden="false" customHeight="true" outlineLevel="0" collapsed="false">
      <c r="A4" s="6" t="n">
        <v>2</v>
      </c>
      <c r="B4" s="7" t="s">
        <v>21</v>
      </c>
      <c r="C4" s="7" t="s">
        <v>22</v>
      </c>
      <c r="D4" s="6" t="s">
        <v>23</v>
      </c>
      <c r="E4" s="6" t="s">
        <v>16</v>
      </c>
      <c r="F4" s="6" t="s">
        <v>24</v>
      </c>
      <c r="G4" s="8" t="n">
        <v>46242</v>
      </c>
      <c r="H4" s="8" t="n">
        <v>46239</v>
      </c>
      <c r="I4" s="6" t="s">
        <v>25</v>
      </c>
      <c r="J4" s="6" t="n">
        <v>100</v>
      </c>
      <c r="K4" s="7" t="s">
        <v>26</v>
      </c>
      <c r="L4" s="7"/>
    </row>
    <row r="5" customFormat="false" ht="45" hidden="false" customHeight="true" outlineLevel="0" collapsed="false">
      <c r="A5" s="3" t="n">
        <v>3</v>
      </c>
      <c r="B5" s="4" t="s">
        <v>27</v>
      </c>
      <c r="C5" s="4" t="s">
        <v>28</v>
      </c>
      <c r="D5" s="3" t="s">
        <v>29</v>
      </c>
      <c r="E5" s="3" t="s">
        <v>30</v>
      </c>
      <c r="F5" s="3" t="s">
        <v>31</v>
      </c>
      <c r="G5" s="5" t="n">
        <v>46254</v>
      </c>
      <c r="H5" s="5"/>
      <c r="I5" s="3" t="s">
        <v>32</v>
      </c>
      <c r="J5" s="3" t="n">
        <v>0</v>
      </c>
      <c r="K5" s="4"/>
      <c r="L5" s="4" t="s">
        <v>33</v>
      </c>
    </row>
    <row r="6" customFormat="false" ht="45" hidden="false" customHeight="true" outlineLevel="0" collapsed="false">
      <c r="A6" s="6"/>
      <c r="B6" s="7"/>
      <c r="C6" s="7"/>
      <c r="D6" s="6"/>
      <c r="E6" s="6"/>
      <c r="F6" s="6"/>
      <c r="G6" s="8"/>
      <c r="H6" s="8"/>
      <c r="I6" s="6"/>
      <c r="J6" s="6"/>
      <c r="K6" s="7"/>
      <c r="L6" s="7"/>
    </row>
    <row r="7" customFormat="false" ht="45" hidden="false" customHeight="true" outlineLevel="0" collapsed="false">
      <c r="A7" s="3"/>
      <c r="B7" s="4"/>
      <c r="C7" s="4"/>
      <c r="D7" s="3"/>
      <c r="E7" s="3"/>
      <c r="F7" s="3"/>
      <c r="G7" s="5"/>
      <c r="H7" s="5"/>
      <c r="I7" s="3"/>
      <c r="J7" s="3"/>
      <c r="K7" s="4"/>
      <c r="L7" s="4"/>
    </row>
    <row r="8" customFormat="false" ht="45" hidden="false" customHeight="true" outlineLevel="0" collapsed="false">
      <c r="A8" s="6"/>
      <c r="B8" s="7"/>
      <c r="C8" s="7"/>
      <c r="D8" s="6"/>
      <c r="E8" s="6"/>
      <c r="F8" s="6"/>
      <c r="G8" s="8"/>
      <c r="H8" s="8"/>
      <c r="I8" s="6"/>
      <c r="J8" s="6"/>
      <c r="K8" s="7"/>
      <c r="L8" s="7"/>
    </row>
    <row r="9" customFormat="false" ht="45" hidden="false" customHeight="true" outlineLevel="0" collapsed="false">
      <c r="A9" s="3"/>
      <c r="B9" s="4"/>
      <c r="C9" s="4"/>
      <c r="D9" s="3"/>
      <c r="E9" s="3"/>
      <c r="F9" s="3"/>
      <c r="G9" s="5"/>
      <c r="H9" s="5"/>
      <c r="I9" s="3"/>
      <c r="J9" s="3"/>
      <c r="K9" s="4"/>
      <c r="L9" s="4"/>
    </row>
    <row r="10" customFormat="false" ht="45" hidden="false" customHeight="true" outlineLevel="0" collapsed="false">
      <c r="A10" s="6"/>
      <c r="B10" s="7"/>
      <c r="C10" s="7"/>
      <c r="D10" s="6"/>
      <c r="E10" s="6"/>
      <c r="F10" s="6"/>
      <c r="G10" s="8"/>
      <c r="H10" s="8"/>
      <c r="I10" s="6"/>
      <c r="J10" s="6"/>
      <c r="K10" s="7"/>
      <c r="L10" s="7"/>
    </row>
    <row r="11" customFormat="false" ht="45" hidden="false" customHeight="true" outlineLevel="0" collapsed="false">
      <c r="A11" s="3"/>
      <c r="B11" s="4"/>
      <c r="C11" s="4"/>
      <c r="D11" s="3"/>
      <c r="E11" s="3"/>
      <c r="F11" s="3"/>
      <c r="G11" s="5"/>
      <c r="H11" s="5"/>
      <c r="I11" s="3"/>
      <c r="J11" s="3"/>
      <c r="K11" s="4"/>
      <c r="L11" s="4"/>
    </row>
    <row r="12" customFormat="false" ht="45" hidden="false" customHeight="true" outlineLevel="0" collapsed="false">
      <c r="A12" s="6"/>
      <c r="B12" s="7"/>
      <c r="C12" s="7"/>
      <c r="D12" s="6"/>
      <c r="E12" s="6"/>
      <c r="F12" s="6"/>
      <c r="G12" s="8"/>
      <c r="H12" s="8"/>
      <c r="I12" s="6"/>
      <c r="J12" s="6"/>
      <c r="K12" s="7"/>
      <c r="L12" s="7"/>
    </row>
    <row r="13" customFormat="false" ht="45" hidden="false" customHeight="true" outlineLevel="0" collapsed="false">
      <c r="A13" s="3"/>
      <c r="B13" s="4"/>
      <c r="C13" s="4"/>
      <c r="D13" s="3"/>
      <c r="E13" s="3"/>
      <c r="F13" s="3"/>
      <c r="G13" s="5"/>
      <c r="H13" s="5"/>
      <c r="I13" s="3"/>
      <c r="J13" s="3"/>
      <c r="K13" s="4"/>
      <c r="L13" s="4"/>
    </row>
    <row r="14" customFormat="false" ht="45" hidden="false" customHeight="true" outlineLevel="0" collapsed="false">
      <c r="A14" s="6"/>
      <c r="B14" s="7"/>
      <c r="C14" s="7"/>
      <c r="D14" s="6"/>
      <c r="E14" s="6"/>
      <c r="F14" s="6"/>
      <c r="G14" s="8"/>
      <c r="H14" s="8"/>
      <c r="I14" s="6"/>
      <c r="J14" s="6"/>
      <c r="K14" s="7"/>
      <c r="L14" s="7"/>
    </row>
    <row r="15" customFormat="false" ht="45" hidden="false" customHeight="true" outlineLevel="0" collapsed="false">
      <c r="A15" s="3"/>
      <c r="B15" s="4"/>
      <c r="C15" s="4"/>
      <c r="D15" s="3"/>
      <c r="E15" s="3"/>
      <c r="F15" s="3"/>
      <c r="G15" s="5"/>
      <c r="H15" s="5"/>
      <c r="I15" s="3"/>
      <c r="J15" s="3"/>
      <c r="K15" s="4"/>
      <c r="L15" s="4"/>
    </row>
    <row r="16" customFormat="false" ht="45" hidden="false" customHeight="true" outlineLevel="0" collapsed="false">
      <c r="A16" s="6"/>
      <c r="B16" s="7"/>
      <c r="C16" s="7"/>
      <c r="D16" s="6"/>
      <c r="E16" s="6"/>
      <c r="F16" s="6"/>
      <c r="G16" s="8"/>
      <c r="H16" s="8"/>
      <c r="I16" s="6"/>
      <c r="J16" s="6"/>
      <c r="K16" s="7"/>
      <c r="L16" s="7"/>
    </row>
    <row r="17" customFormat="false" ht="45" hidden="false" customHeight="true" outlineLevel="0" collapsed="false">
      <c r="A17" s="3"/>
      <c r="B17" s="4"/>
      <c r="C17" s="4"/>
      <c r="D17" s="3"/>
      <c r="E17" s="3"/>
      <c r="F17" s="3"/>
      <c r="G17" s="5"/>
      <c r="H17" s="5"/>
      <c r="I17" s="3"/>
      <c r="J17" s="3"/>
      <c r="K17" s="4"/>
      <c r="L17" s="4"/>
    </row>
    <row r="18" customFormat="false" ht="45" hidden="false" customHeight="true" outlineLevel="0" collapsed="false">
      <c r="A18" s="6"/>
      <c r="B18" s="7"/>
      <c r="C18" s="7"/>
      <c r="D18" s="6"/>
      <c r="E18" s="6"/>
      <c r="F18" s="6"/>
      <c r="G18" s="8"/>
      <c r="H18" s="8"/>
      <c r="I18" s="6"/>
      <c r="J18" s="6"/>
      <c r="K18" s="7"/>
      <c r="L18" s="7"/>
    </row>
    <row r="19" customFormat="false" ht="45" hidden="false" customHeight="true" outlineLevel="0" collapsed="false">
      <c r="A19" s="3"/>
      <c r="B19" s="4"/>
      <c r="C19" s="4"/>
      <c r="D19" s="3"/>
      <c r="E19" s="3"/>
      <c r="F19" s="3"/>
      <c r="G19" s="5"/>
      <c r="H19" s="5"/>
      <c r="I19" s="3"/>
      <c r="J19" s="3"/>
      <c r="K19" s="4"/>
      <c r="L19" s="4"/>
    </row>
    <row r="20" customFormat="false" ht="45" hidden="false" customHeight="true" outlineLevel="0" collapsed="false">
      <c r="A20" s="6"/>
      <c r="B20" s="7"/>
      <c r="C20" s="7"/>
      <c r="D20" s="6"/>
      <c r="E20" s="6"/>
      <c r="F20" s="6"/>
      <c r="G20" s="8"/>
      <c r="H20" s="8"/>
      <c r="I20" s="6"/>
      <c r="J20" s="6"/>
      <c r="K20" s="7"/>
      <c r="L20" s="7"/>
    </row>
    <row r="21" customFormat="false" ht="45" hidden="false" customHeight="true" outlineLevel="0" collapsed="false">
      <c r="A21" s="3"/>
      <c r="B21" s="4"/>
      <c r="C21" s="4"/>
      <c r="D21" s="3"/>
      <c r="E21" s="3"/>
      <c r="F21" s="3"/>
      <c r="G21" s="5"/>
      <c r="H21" s="5"/>
      <c r="I21" s="3"/>
      <c r="J21" s="3"/>
      <c r="K21" s="4"/>
      <c r="L21" s="4"/>
    </row>
    <row r="22" customFormat="false" ht="45" hidden="false" customHeight="true" outlineLevel="0" collapsed="false">
      <c r="A22" s="6"/>
      <c r="B22" s="7"/>
      <c r="C22" s="7"/>
      <c r="D22" s="6"/>
      <c r="E22" s="6"/>
      <c r="F22" s="6"/>
      <c r="G22" s="8"/>
      <c r="H22" s="8"/>
      <c r="I22" s="6"/>
      <c r="J22" s="6"/>
      <c r="K22" s="7"/>
      <c r="L22" s="7"/>
    </row>
    <row r="23" customFormat="false" ht="45" hidden="false" customHeight="true" outlineLevel="0" collapsed="false">
      <c r="A23" s="3"/>
      <c r="B23" s="4"/>
      <c r="C23" s="4"/>
      <c r="D23" s="3"/>
      <c r="E23" s="3"/>
      <c r="F23" s="3"/>
      <c r="G23" s="5"/>
      <c r="H23" s="5"/>
      <c r="I23" s="3"/>
      <c r="J23" s="3"/>
      <c r="K23" s="4"/>
      <c r="L23" s="4"/>
    </row>
    <row r="24" customFormat="false" ht="45" hidden="false" customHeight="true" outlineLevel="0" collapsed="false">
      <c r="A24" s="6"/>
      <c r="B24" s="7"/>
      <c r="C24" s="7"/>
      <c r="D24" s="6"/>
      <c r="E24" s="6"/>
      <c r="F24" s="6"/>
      <c r="G24" s="8"/>
      <c r="H24" s="8"/>
      <c r="I24" s="6"/>
      <c r="J24" s="6"/>
      <c r="K24" s="7"/>
      <c r="L24" s="7"/>
    </row>
    <row r="25" customFormat="false" ht="45" hidden="false" customHeight="true" outlineLevel="0" collapsed="false">
      <c r="A25" s="3"/>
      <c r="B25" s="4"/>
      <c r="C25" s="4"/>
      <c r="D25" s="3"/>
      <c r="E25" s="3"/>
      <c r="F25" s="3"/>
      <c r="G25" s="5"/>
      <c r="H25" s="5"/>
      <c r="I25" s="3"/>
      <c r="J25" s="3"/>
      <c r="K25" s="4"/>
      <c r="L25" s="4"/>
    </row>
    <row r="26" customFormat="false" ht="45" hidden="false" customHeight="true" outlineLevel="0" collapsed="false">
      <c r="A26" s="6"/>
      <c r="B26" s="7"/>
      <c r="C26" s="7"/>
      <c r="D26" s="6"/>
      <c r="E26" s="6"/>
      <c r="F26" s="6"/>
      <c r="G26" s="8"/>
      <c r="H26" s="8"/>
      <c r="I26" s="6"/>
      <c r="J26" s="6"/>
      <c r="K26" s="7"/>
      <c r="L26" s="7"/>
    </row>
    <row r="27" customFormat="false" ht="45" hidden="false" customHeight="true" outlineLevel="0" collapsed="false">
      <c r="A27" s="3"/>
      <c r="B27" s="4"/>
      <c r="C27" s="4"/>
      <c r="D27" s="3"/>
      <c r="E27" s="3"/>
      <c r="F27" s="3"/>
      <c r="G27" s="5"/>
      <c r="H27" s="5"/>
      <c r="I27" s="3"/>
      <c r="J27" s="3"/>
      <c r="K27" s="4"/>
      <c r="L27" s="4"/>
    </row>
    <row r="28" customFormat="false" ht="45" hidden="false" customHeight="true" outlineLevel="0" collapsed="false">
      <c r="A28" s="6"/>
      <c r="B28" s="7"/>
      <c r="C28" s="7"/>
      <c r="D28" s="6"/>
      <c r="E28" s="6"/>
      <c r="F28" s="6"/>
      <c r="G28" s="8"/>
      <c r="H28" s="8"/>
      <c r="I28" s="6"/>
      <c r="J28" s="6"/>
      <c r="K28" s="7"/>
      <c r="L28" s="7"/>
    </row>
    <row r="29" customFormat="false" ht="45" hidden="false" customHeight="true" outlineLevel="0" collapsed="false">
      <c r="A29" s="3"/>
      <c r="B29" s="4"/>
      <c r="C29" s="4"/>
      <c r="D29" s="3"/>
      <c r="E29" s="3"/>
      <c r="F29" s="3"/>
      <c r="G29" s="5"/>
      <c r="H29" s="5"/>
      <c r="I29" s="3"/>
      <c r="J29" s="3"/>
      <c r="K29" s="4"/>
      <c r="L29" s="4"/>
    </row>
    <row r="30" customFormat="false" ht="45" hidden="false" customHeight="true" outlineLevel="0" collapsed="false">
      <c r="A30" s="6"/>
      <c r="B30" s="7"/>
      <c r="C30" s="7"/>
      <c r="D30" s="6"/>
      <c r="E30" s="6"/>
      <c r="F30" s="6"/>
      <c r="G30" s="8"/>
      <c r="H30" s="8"/>
      <c r="I30" s="6"/>
      <c r="J30" s="6"/>
      <c r="K30" s="7"/>
      <c r="L30" s="7"/>
    </row>
    <row r="31" customFormat="false" ht="45" hidden="false" customHeight="true" outlineLevel="0" collapsed="false">
      <c r="A31" s="3"/>
      <c r="B31" s="4"/>
      <c r="C31" s="4"/>
      <c r="D31" s="3"/>
      <c r="E31" s="3"/>
      <c r="F31" s="3"/>
      <c r="G31" s="5"/>
      <c r="H31" s="5"/>
      <c r="I31" s="3"/>
      <c r="J31" s="3"/>
      <c r="K31" s="4"/>
      <c r="L31" s="4"/>
    </row>
    <row r="32" customFormat="false" ht="45" hidden="false" customHeight="true" outlineLevel="0" collapsed="false">
      <c r="A32" s="6"/>
      <c r="B32" s="7"/>
      <c r="C32" s="7"/>
      <c r="D32" s="6"/>
      <c r="E32" s="6"/>
      <c r="F32" s="6"/>
      <c r="G32" s="8"/>
      <c r="H32" s="8"/>
      <c r="I32" s="6"/>
      <c r="J32" s="6"/>
      <c r="K32" s="7"/>
      <c r="L32" s="7"/>
    </row>
    <row r="33" customFormat="false" ht="45" hidden="false" customHeight="true" outlineLevel="0" collapsed="false">
      <c r="A33" s="3"/>
      <c r="B33" s="4"/>
      <c r="C33" s="4"/>
      <c r="D33" s="3"/>
      <c r="E33" s="3"/>
      <c r="F33" s="3"/>
      <c r="G33" s="5"/>
      <c r="H33" s="5"/>
      <c r="I33" s="3"/>
      <c r="J33" s="3"/>
      <c r="K33" s="4"/>
      <c r="L33" s="4"/>
    </row>
    <row r="34" customFormat="false" ht="45" hidden="false" customHeight="true" outlineLevel="0" collapsed="false">
      <c r="A34" s="6"/>
      <c r="B34" s="7"/>
      <c r="C34" s="7"/>
      <c r="D34" s="6"/>
      <c r="E34" s="6"/>
      <c r="F34" s="6"/>
      <c r="G34" s="8"/>
      <c r="H34" s="8"/>
      <c r="I34" s="6"/>
      <c r="J34" s="6"/>
      <c r="K34" s="7"/>
      <c r="L34" s="7"/>
    </row>
    <row r="35" customFormat="false" ht="45" hidden="false" customHeight="true" outlineLevel="0" collapsed="false">
      <c r="A35" s="3"/>
      <c r="B35" s="4"/>
      <c r="C35" s="4"/>
      <c r="D35" s="3"/>
      <c r="E35" s="3"/>
      <c r="F35" s="3"/>
      <c r="G35" s="5"/>
      <c r="H35" s="5"/>
      <c r="I35" s="3"/>
      <c r="J35" s="3"/>
      <c r="K35" s="4"/>
      <c r="L35" s="4"/>
    </row>
    <row r="36" customFormat="false" ht="45" hidden="false" customHeight="true" outlineLevel="0" collapsed="false">
      <c r="A36" s="6"/>
      <c r="B36" s="7"/>
      <c r="C36" s="7"/>
      <c r="D36" s="6"/>
      <c r="E36" s="6"/>
      <c r="F36" s="6"/>
      <c r="G36" s="8"/>
      <c r="H36" s="8"/>
      <c r="I36" s="6"/>
      <c r="J36" s="6"/>
      <c r="K36" s="7"/>
      <c r="L36" s="7"/>
    </row>
    <row r="37" customFormat="false" ht="45" hidden="false" customHeight="true" outlineLevel="0" collapsed="false">
      <c r="A37" s="3"/>
      <c r="B37" s="4"/>
      <c r="C37" s="4"/>
      <c r="D37" s="3"/>
      <c r="E37" s="3"/>
      <c r="F37" s="3"/>
      <c r="G37" s="5"/>
      <c r="H37" s="5"/>
      <c r="I37" s="3"/>
      <c r="J37" s="3"/>
      <c r="K37" s="4"/>
      <c r="L37" s="4"/>
    </row>
    <row r="38" customFormat="false" ht="45" hidden="false" customHeight="true" outlineLevel="0" collapsed="false">
      <c r="A38" s="6"/>
      <c r="B38" s="7"/>
      <c r="C38" s="7"/>
      <c r="D38" s="6"/>
      <c r="E38" s="6"/>
      <c r="F38" s="6"/>
      <c r="G38" s="8"/>
      <c r="H38" s="8"/>
      <c r="I38" s="6"/>
      <c r="J38" s="6"/>
      <c r="K38" s="7"/>
      <c r="L38" s="7"/>
    </row>
    <row r="39" customFormat="false" ht="45" hidden="false" customHeight="true" outlineLevel="0" collapsed="false">
      <c r="A39" s="3"/>
      <c r="B39" s="4"/>
      <c r="C39" s="4"/>
      <c r="D39" s="3"/>
      <c r="E39" s="3"/>
      <c r="F39" s="3"/>
      <c r="G39" s="5"/>
      <c r="H39" s="5"/>
      <c r="I39" s="3"/>
      <c r="J39" s="3"/>
      <c r="K39" s="4"/>
      <c r="L39" s="4"/>
    </row>
    <row r="40" customFormat="false" ht="45" hidden="false" customHeight="true" outlineLevel="0" collapsed="false">
      <c r="A40" s="6"/>
      <c r="B40" s="7"/>
      <c r="C40" s="7"/>
      <c r="D40" s="6"/>
      <c r="E40" s="6"/>
      <c r="F40" s="6"/>
      <c r="G40" s="8"/>
      <c r="H40" s="8"/>
      <c r="I40" s="6"/>
      <c r="J40" s="6"/>
      <c r="K40" s="7"/>
      <c r="L40" s="7"/>
    </row>
    <row r="41" customFormat="false" ht="45" hidden="false" customHeight="true" outlineLevel="0" collapsed="false">
      <c r="A41" s="3"/>
      <c r="B41" s="4"/>
      <c r="C41" s="4"/>
      <c r="D41" s="3"/>
      <c r="E41" s="3"/>
      <c r="F41" s="3"/>
      <c r="G41" s="5"/>
      <c r="H41" s="5"/>
      <c r="I41" s="3"/>
      <c r="J41" s="3"/>
      <c r="K41" s="4"/>
      <c r="L41" s="4"/>
    </row>
    <row r="42" customFormat="false" ht="45" hidden="false" customHeight="true" outlineLevel="0" collapsed="false">
      <c r="A42" s="6"/>
      <c r="B42" s="7"/>
      <c r="C42" s="7"/>
      <c r="D42" s="6"/>
      <c r="E42" s="6"/>
      <c r="F42" s="6"/>
      <c r="G42" s="8"/>
      <c r="H42" s="8"/>
      <c r="I42" s="6"/>
      <c r="J42" s="6"/>
      <c r="K42" s="7"/>
      <c r="L42" s="7"/>
    </row>
    <row r="43" customFormat="false" ht="45" hidden="false" customHeight="true" outlineLevel="0" collapsed="false">
      <c r="A43" s="3"/>
      <c r="B43" s="4"/>
      <c r="C43" s="4"/>
      <c r="D43" s="3"/>
      <c r="E43" s="3"/>
      <c r="F43" s="3"/>
      <c r="G43" s="5"/>
      <c r="H43" s="5"/>
      <c r="I43" s="3"/>
      <c r="J43" s="3"/>
      <c r="K43" s="4"/>
      <c r="L43" s="4"/>
    </row>
    <row r="44" customFormat="false" ht="45" hidden="false" customHeight="true" outlineLevel="0" collapsed="false">
      <c r="A44" s="6"/>
      <c r="B44" s="7"/>
      <c r="C44" s="7"/>
      <c r="D44" s="6"/>
      <c r="E44" s="6"/>
      <c r="F44" s="6"/>
      <c r="G44" s="8"/>
      <c r="H44" s="8"/>
      <c r="I44" s="6"/>
      <c r="J44" s="6"/>
      <c r="K44" s="7"/>
      <c r="L44" s="7"/>
    </row>
    <row r="45" customFormat="false" ht="45" hidden="false" customHeight="true" outlineLevel="0" collapsed="false">
      <c r="A45" s="3"/>
      <c r="B45" s="4"/>
      <c r="C45" s="4"/>
      <c r="D45" s="3"/>
      <c r="E45" s="3"/>
      <c r="F45" s="3"/>
      <c r="G45" s="5"/>
      <c r="H45" s="5"/>
      <c r="I45" s="3"/>
      <c r="J45" s="3"/>
      <c r="K45" s="4"/>
      <c r="L45" s="4"/>
    </row>
    <row r="46" customFormat="false" ht="45" hidden="false" customHeight="true" outlineLevel="0" collapsed="false">
      <c r="A46" s="6"/>
      <c r="B46" s="7"/>
      <c r="C46" s="7"/>
      <c r="D46" s="6"/>
      <c r="E46" s="6"/>
      <c r="F46" s="6"/>
      <c r="G46" s="8"/>
      <c r="H46" s="8"/>
      <c r="I46" s="6"/>
      <c r="J46" s="6"/>
      <c r="K46" s="7"/>
      <c r="L46" s="7"/>
    </row>
    <row r="47" customFormat="false" ht="45" hidden="false" customHeight="true" outlineLevel="0" collapsed="false">
      <c r="A47" s="3"/>
      <c r="B47" s="4"/>
      <c r="C47" s="4"/>
      <c r="D47" s="3"/>
      <c r="E47" s="3"/>
      <c r="F47" s="3"/>
      <c r="G47" s="5"/>
      <c r="H47" s="5"/>
      <c r="I47" s="3"/>
      <c r="J47" s="3"/>
      <c r="K47" s="4"/>
      <c r="L47" s="4"/>
    </row>
    <row r="48" customFormat="false" ht="45" hidden="false" customHeight="true" outlineLevel="0" collapsed="false">
      <c r="A48" s="6"/>
      <c r="B48" s="7"/>
      <c r="C48" s="7"/>
      <c r="D48" s="6"/>
      <c r="E48" s="6"/>
      <c r="F48" s="6"/>
      <c r="G48" s="8"/>
      <c r="H48" s="8"/>
      <c r="I48" s="6"/>
      <c r="J48" s="6"/>
      <c r="K48" s="7"/>
      <c r="L48" s="7"/>
    </row>
    <row r="49" customFormat="false" ht="45" hidden="false" customHeight="true" outlineLevel="0" collapsed="false">
      <c r="A49" s="3"/>
      <c r="B49" s="4"/>
      <c r="C49" s="4"/>
      <c r="D49" s="3"/>
      <c r="E49" s="3"/>
      <c r="F49" s="3"/>
      <c r="G49" s="5"/>
      <c r="H49" s="5"/>
      <c r="I49" s="3"/>
      <c r="J49" s="3"/>
      <c r="K49" s="4"/>
      <c r="L49" s="4"/>
    </row>
    <row r="50" customFormat="false" ht="45" hidden="false" customHeight="true" outlineLevel="0" collapsed="false">
      <c r="A50" s="6"/>
      <c r="B50" s="7"/>
      <c r="C50" s="7"/>
      <c r="D50" s="6"/>
      <c r="E50" s="6"/>
      <c r="F50" s="6"/>
      <c r="G50" s="8"/>
      <c r="H50" s="8"/>
      <c r="I50" s="6"/>
      <c r="J50" s="6"/>
      <c r="K50" s="7"/>
      <c r="L50" s="7"/>
    </row>
    <row r="51" customFormat="false" ht="45" hidden="false" customHeight="true" outlineLevel="0" collapsed="false">
      <c r="A51" s="3"/>
      <c r="B51" s="4"/>
      <c r="C51" s="4"/>
      <c r="D51" s="3"/>
      <c r="E51" s="3"/>
      <c r="F51" s="3"/>
      <c r="G51" s="5"/>
      <c r="H51" s="5"/>
      <c r="I51" s="3"/>
      <c r="J51" s="3"/>
      <c r="K51" s="4"/>
      <c r="L51" s="4"/>
    </row>
    <row r="52" customFormat="false" ht="45" hidden="false" customHeight="true" outlineLevel="0" collapsed="false">
      <c r="A52" s="6"/>
      <c r="B52" s="7"/>
      <c r="C52" s="7"/>
      <c r="D52" s="6"/>
      <c r="E52" s="6"/>
      <c r="F52" s="6"/>
      <c r="G52" s="8"/>
      <c r="H52" s="8"/>
      <c r="I52" s="6"/>
      <c r="J52" s="6"/>
      <c r="K52" s="7"/>
      <c r="L52" s="7"/>
    </row>
  </sheetData>
  <mergeCells count="1">
    <mergeCell ref="A1:L1"/>
  </mergeCells>
  <conditionalFormatting sqref="I3:I52">
    <cfRule type="cellIs" priority="2" operator="equal" aboveAverage="0" equalAverage="0" bottom="0" percent="0" rank="0" text="" dxfId="0">
      <formula>"已完成"</formula>
    </cfRule>
    <cfRule type="cellIs" priority="3" operator="equal" aboveAverage="0" equalAverage="0" bottom="0" percent="0" rank="0" text="" dxfId="1">
      <formula>"进行中"</formula>
    </cfRule>
    <cfRule type="cellIs" priority="4" operator="equal" aboveAverage="0" equalAverage="0" bottom="0" percent="0" rank="0" text="" dxfId="2">
      <formula>"未开始"</formula>
    </cfRule>
    <cfRule type="cellIs" priority="5" operator="equal" aboveAverage="0" equalAverage="0" bottom="0" percent="0" rank="0" text="" dxfId="3">
      <formula>"已延期"</formula>
    </cfRule>
  </conditionalFormatting>
  <conditionalFormatting sqref="E3:E52">
    <cfRule type="cellIs" priority="6" operator="equal" aboveAverage="0" equalAverage="0" bottom="0" percent="0" rank="0" text="" dxfId="3">
      <formula>"高"</formula>
    </cfRule>
    <cfRule type="cellIs" priority="7" operator="equal" aboveAverage="0" equalAverage="0" bottom="0" percent="0" rank="0" text="" dxfId="4">
      <formula>"中"</formula>
    </cfRule>
    <cfRule type="cellIs" priority="8" operator="equal" aboveAverage="0" equalAverage="0" bottom="0" percent="0" rank="0" text="" dxfId="0">
      <formula>"低"</formula>
    </cfRule>
  </conditionalFormatting>
  <conditionalFormatting sqref="J3:J52">
    <cfRule type="dataBar" priority="9">
      <dataBar showValue="1" minLength="10" maxLength="90"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{C09C9827-1D86-4F56-9F29-753DB8592F7B}</x14:id>
        </ext>
      </extLst>
    </cfRule>
  </conditionalFormatting>
  <dataValidations count="4">
    <dataValidation allowBlank="true" errorStyle="stop" operator="between" showDropDown="false" showErrorMessage="false" showInputMessage="false" sqref="D3:D52" type="list">
      <formula1>"设备,质量,流程,安全,其他"</formula1>
      <formula2>0</formula2>
    </dataValidation>
    <dataValidation allowBlank="true" errorStyle="stop" operator="between" showDropDown="false" showErrorMessage="false" showInputMessage="false" sqref="E3:E52" type="list">
      <formula1>"高,中,低"</formula1>
      <formula2>0</formula2>
    </dataValidation>
    <dataValidation allowBlank="true" errorStyle="stop" operator="between" showDropDown="false" showErrorMessage="false" showInputMessage="false" sqref="I3:I52" type="list">
      <formula1>"未开始,进行中,已完成,已延期"</formula1>
      <formula2>0</formula2>
    </dataValidation>
    <dataValidation allowBlank="true" errorStyle="stop" operator="between" showDropDown="false" showErrorMessage="false" showInputMessage="false" sqref="J3:J52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9C9827-1D86-4F56-9F29-753DB8592F7B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638EC6"/>
              <x14:axisColor rgb="FF000000"/>
            </x14:dataBar>
          </x14:cfRule>
          <xm:sqref>J3:J52</xm:sqref>
        </x14:conditionalFormatting>
      </x14:conditionalFormattings>
    </ext>
  </extLst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14.56"/>
    <col collapsed="false" customWidth="true" hidden="false" outlineLevel="0" max="3" min="3" style="0" width="12.74"/>
    <col collapsed="false" customWidth="true" hidden="false" outlineLevel="0" max="5" min="4" style="0" width="14.56"/>
    <col collapsed="false" customWidth="true" hidden="false" outlineLevel="0" max="6" min="6" style="0" width="12.74"/>
  </cols>
  <sheetData>
    <row r="1" customFormat="false" ht="37.5" hidden="false" customHeight="true" outlineLevel="0" collapsed="false">
      <c r="A1" s="1" t="s">
        <v>34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35</v>
      </c>
      <c r="B3" s="10"/>
      <c r="C3" s="10"/>
      <c r="D3" s="9" t="s">
        <v>36</v>
      </c>
      <c r="E3" s="10"/>
      <c r="F3" s="10"/>
    </row>
    <row r="4" customFormat="false" ht="15" hidden="false" customHeight="true" outlineLevel="0" collapsed="false">
      <c r="A4" s="9" t="s">
        <v>37</v>
      </c>
      <c r="B4" s="11" t="n">
        <f aca="true">TODAY()</f>
        <v>46238</v>
      </c>
      <c r="C4" s="11"/>
      <c r="D4" s="9" t="s">
        <v>38</v>
      </c>
      <c r="E4" s="12" t="s">
        <v>39</v>
      </c>
      <c r="F4" s="12"/>
    </row>
    <row r="6" customFormat="false" ht="25.5" hidden="false" customHeight="true" outlineLevel="0" collapsed="false">
      <c r="A6" s="13" t="s">
        <v>40</v>
      </c>
      <c r="B6" s="13"/>
      <c r="C6" s="13"/>
      <c r="D6" s="13"/>
      <c r="E6" s="13"/>
      <c r="F6" s="13"/>
    </row>
    <row r="7" customFormat="false" ht="24" hidden="false" customHeight="true" outlineLevel="0" collapsed="false">
      <c r="A7" s="14" t="s">
        <v>41</v>
      </c>
      <c r="B7" s="14" t="s">
        <v>25</v>
      </c>
      <c r="C7" s="14" t="s">
        <v>18</v>
      </c>
      <c r="D7" s="14" t="s">
        <v>32</v>
      </c>
      <c r="E7" s="14" t="s">
        <v>42</v>
      </c>
      <c r="F7" s="14" t="s">
        <v>43</v>
      </c>
    </row>
    <row r="8" customFormat="false" ht="42" hidden="false" customHeight="true" outlineLevel="0" collapsed="false">
      <c r="A8" s="15" t="n">
        <f aca="false">COUNTA(追踪总表!B3:B52)</f>
        <v>3</v>
      </c>
      <c r="B8" s="15" t="n">
        <f aca="false">COUNTIF(追踪总表!I3:I52,"已完成")</f>
        <v>1</v>
      </c>
      <c r="C8" s="15" t="n">
        <f aca="false">COUNTIF(追踪总表!I3:I52,"进行中")</f>
        <v>1</v>
      </c>
      <c r="D8" s="15" t="n">
        <f aca="false">COUNTIF(追踪总表!I3:I52,"未开始")</f>
        <v>1</v>
      </c>
      <c r="E8" s="15" t="n">
        <f aca="false">COUNTIF(追踪总表!I3:I52,"已延期")</f>
        <v>0</v>
      </c>
      <c r="F8" s="16" t="n">
        <f aca="false">IF(A8=0,0,B8/A8)</f>
        <v>0.333333333333333</v>
      </c>
    </row>
    <row r="10" customFormat="false" ht="25.5" hidden="false" customHeight="true" outlineLevel="0" collapsed="false">
      <c r="A10" s="13" t="s">
        <v>44</v>
      </c>
      <c r="B10" s="13"/>
      <c r="C10" s="13"/>
      <c r="D10" s="13" t="s">
        <v>45</v>
      </c>
      <c r="E10" s="13"/>
      <c r="F10" s="13"/>
    </row>
    <row r="11" customFormat="false" ht="15" hidden="false" customHeight="false" outlineLevel="0" collapsed="false">
      <c r="A11" s="17" t="s">
        <v>9</v>
      </c>
      <c r="B11" s="17" t="s">
        <v>46</v>
      </c>
      <c r="C11" s="17" t="s">
        <v>47</v>
      </c>
      <c r="D11" s="17" t="s">
        <v>5</v>
      </c>
      <c r="E11" s="17" t="s">
        <v>46</v>
      </c>
      <c r="F11" s="17" t="s">
        <v>47</v>
      </c>
    </row>
    <row r="12" customFormat="false" ht="15" hidden="false" customHeight="false" outlineLevel="0" collapsed="false">
      <c r="A12" s="3" t="s">
        <v>32</v>
      </c>
      <c r="B12" s="3" t="n">
        <f aca="false">COUNTIF(追踪总表!I3:I52,"未开始")</f>
        <v>1</v>
      </c>
      <c r="C12" s="18" t="n">
        <f aca="false">IF($A$8=0,0,B12/$A$8)</f>
        <v>0.333333333333333</v>
      </c>
      <c r="D12" s="3" t="s">
        <v>16</v>
      </c>
      <c r="E12" s="3" t="n">
        <f aca="false">COUNTIF(追踪总表!E3:E52,"高")</f>
        <v>2</v>
      </c>
      <c r="F12" s="18" t="n">
        <f aca="false">IF($A$8=0,0,E12/$A$8)</f>
        <v>0.666666666666667</v>
      </c>
    </row>
    <row r="13" customFormat="false" ht="15" hidden="false" customHeight="false" outlineLevel="0" collapsed="false">
      <c r="A13" s="6" t="s">
        <v>18</v>
      </c>
      <c r="B13" s="6" t="n">
        <f aca="false">COUNTIF(追踪总表!I3:I52,"进行中")</f>
        <v>1</v>
      </c>
      <c r="C13" s="19" t="n">
        <f aca="false">IF($A$8=0,0,B13/$A$8)</f>
        <v>0.333333333333333</v>
      </c>
      <c r="D13" s="6" t="s">
        <v>30</v>
      </c>
      <c r="E13" s="6" t="n">
        <f aca="false">COUNTIF(追踪总表!E3:E52,"中")</f>
        <v>1</v>
      </c>
      <c r="F13" s="19" t="n">
        <f aca="false">IF($A$8=0,0,E13/$A$8)</f>
        <v>0.333333333333333</v>
      </c>
    </row>
    <row r="14" customFormat="false" ht="15" hidden="false" customHeight="false" outlineLevel="0" collapsed="false">
      <c r="A14" s="3" t="s">
        <v>25</v>
      </c>
      <c r="B14" s="3" t="n">
        <f aca="false">COUNTIF(追踪总表!I3:I52,"已完成")</f>
        <v>1</v>
      </c>
      <c r="C14" s="18" t="n">
        <f aca="false">IF($A$8=0,0,B14/$A$8)</f>
        <v>0.333333333333333</v>
      </c>
      <c r="D14" s="3" t="s">
        <v>48</v>
      </c>
      <c r="E14" s="3" t="n">
        <f aca="false">COUNTIF(追踪总表!E3:E52,"低")</f>
        <v>0</v>
      </c>
      <c r="F14" s="18" t="n">
        <f aca="false">IF($A$8=0,0,E14/$A$8)</f>
        <v>0</v>
      </c>
    </row>
    <row r="15" customFormat="false" ht="15" hidden="false" customHeight="false" outlineLevel="0" collapsed="false">
      <c r="A15" s="6" t="s">
        <v>42</v>
      </c>
      <c r="B15" s="6" t="n">
        <f aca="false">COUNTIF(追踪总表!I3:I52,"已延期")</f>
        <v>0</v>
      </c>
      <c r="C15" s="19" t="n">
        <f aca="false">IF($A$8=0,0,B15/$A$8)</f>
        <v>0</v>
      </c>
    </row>
    <row r="16" customFormat="false" ht="15" hidden="false" customHeight="false" outlineLevel="0" collapsed="false">
      <c r="A16" s="20" t="s">
        <v>49</v>
      </c>
      <c r="B16" s="20" t="n">
        <f aca="false">SUM(B12:B15)</f>
        <v>3</v>
      </c>
      <c r="C16" s="21" t="n">
        <f aca="false">IF($A$8=0,0,B16/$A$8)</f>
        <v>1</v>
      </c>
      <c r="D16" s="20" t="s">
        <v>49</v>
      </c>
      <c r="E16" s="20" t="n">
        <f aca="false">SUM(E12:E14)</f>
        <v>3</v>
      </c>
      <c r="F16" s="21" t="n">
        <f aca="false">IF($A$8=0,0,E16/$A$8)</f>
        <v>1</v>
      </c>
    </row>
    <row r="18" customFormat="false" ht="25.5" hidden="false" customHeight="true" outlineLevel="0" collapsed="false">
      <c r="A18" s="13" t="s">
        <v>50</v>
      </c>
      <c r="B18" s="13"/>
      <c r="C18" s="13"/>
    </row>
    <row r="19" customFormat="false" ht="15" hidden="false" customHeight="false" outlineLevel="0" collapsed="false">
      <c r="A19" s="17" t="s">
        <v>4</v>
      </c>
      <c r="B19" s="17" t="s">
        <v>46</v>
      </c>
      <c r="C19" s="17" t="s">
        <v>47</v>
      </c>
    </row>
    <row r="20" customFormat="false" ht="15" hidden="false" customHeight="false" outlineLevel="0" collapsed="false">
      <c r="A20" s="3" t="s">
        <v>15</v>
      </c>
      <c r="B20" s="3" t="n">
        <f aca="false">COUNTIF(追踪总表!D3:D52,"设备")</f>
        <v>1</v>
      </c>
      <c r="C20" s="18" t="n">
        <f aca="false">IF($A$8=0,0,B20/$A$8)</f>
        <v>0.333333333333333</v>
      </c>
    </row>
    <row r="21" customFormat="false" ht="15" hidden="false" customHeight="false" outlineLevel="0" collapsed="false">
      <c r="A21" s="6" t="s">
        <v>23</v>
      </c>
      <c r="B21" s="6" t="n">
        <f aca="false">COUNTIF(追踪总表!D3:D52,"质量")</f>
        <v>1</v>
      </c>
      <c r="C21" s="19" t="n">
        <f aca="false">IF($A$8=0,0,B21/$A$8)</f>
        <v>0.333333333333333</v>
      </c>
    </row>
    <row r="22" customFormat="false" ht="15" hidden="false" customHeight="false" outlineLevel="0" collapsed="false">
      <c r="A22" s="3" t="s">
        <v>29</v>
      </c>
      <c r="B22" s="3" t="n">
        <f aca="false">COUNTIF(追踪总表!D3:D52,"流程")</f>
        <v>1</v>
      </c>
      <c r="C22" s="18" t="n">
        <f aca="false">IF($A$8=0,0,B22/$A$8)</f>
        <v>0.333333333333333</v>
      </c>
    </row>
    <row r="23" customFormat="false" ht="15" hidden="false" customHeight="false" outlineLevel="0" collapsed="false">
      <c r="A23" s="6" t="s">
        <v>51</v>
      </c>
      <c r="B23" s="6" t="n">
        <f aca="false">COUNTIF(追踪总表!D3:D52,"安全")</f>
        <v>0</v>
      </c>
      <c r="C23" s="19" t="n">
        <f aca="false">IF($A$8=0,0,B23/$A$8)</f>
        <v>0</v>
      </c>
    </row>
    <row r="24" customFormat="false" ht="15" hidden="false" customHeight="false" outlineLevel="0" collapsed="false">
      <c r="A24" s="3" t="s">
        <v>52</v>
      </c>
      <c r="B24" s="3" t="n">
        <f aca="false">COUNTIF(追踪总表!D3:D52,"其他")</f>
        <v>0</v>
      </c>
      <c r="C24" s="18" t="n">
        <f aca="false">IF($A$8=0,0,B24/$A$8)</f>
        <v>0</v>
      </c>
    </row>
    <row r="25" customFormat="false" ht="15" hidden="false" customHeight="false" outlineLevel="0" collapsed="false">
      <c r="A25" s="20" t="s">
        <v>49</v>
      </c>
      <c r="B25" s="20" t="n">
        <f aca="false">SUM(B20:B24)</f>
        <v>3</v>
      </c>
      <c r="C25" s="21" t="n">
        <f aca="false">IF($A$8=0,0,B25/$A$8)</f>
        <v>1</v>
      </c>
    </row>
  </sheetData>
  <mergeCells count="9">
    <mergeCell ref="A1:F1"/>
    <mergeCell ref="B3:C3"/>
    <mergeCell ref="E3:F3"/>
    <mergeCell ref="B4:C4"/>
    <mergeCell ref="E4:F4"/>
    <mergeCell ref="A6:F6"/>
    <mergeCell ref="A10:C10"/>
    <mergeCell ref="D10:F10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38.21"/>
    <col collapsed="false" customWidth="true" hidden="false" outlineLevel="0" max="3" min="3" style="0" width="34.57"/>
  </cols>
  <sheetData>
    <row r="1" customFormat="false" ht="37.5" hidden="false" customHeight="true" outlineLevel="0" collapsed="false">
      <c r="A1" s="1" t="s">
        <v>53</v>
      </c>
      <c r="B1" s="1"/>
      <c r="C1" s="1"/>
    </row>
    <row r="3" customFormat="false" ht="25.5" hidden="false" customHeight="true" outlineLevel="0" collapsed="false">
      <c r="A3" s="13" t="s">
        <v>54</v>
      </c>
      <c r="B3" s="13"/>
      <c r="C3" s="13"/>
    </row>
    <row r="4" customFormat="false" ht="15" hidden="false" customHeight="false" outlineLevel="0" collapsed="false">
      <c r="A4" s="17" t="s">
        <v>55</v>
      </c>
      <c r="B4" s="17" t="s">
        <v>56</v>
      </c>
      <c r="C4" s="17" t="s">
        <v>57</v>
      </c>
    </row>
    <row r="5" customFormat="false" ht="27.75" hidden="false" customHeight="true" outlineLevel="0" collapsed="false">
      <c r="A5" s="22" t="s">
        <v>1</v>
      </c>
      <c r="B5" s="4" t="s">
        <v>58</v>
      </c>
      <c r="C5" s="4" t="s">
        <v>59</v>
      </c>
    </row>
    <row r="6" customFormat="false" ht="27.75" hidden="false" customHeight="true" outlineLevel="0" collapsed="false">
      <c r="A6" s="23" t="s">
        <v>2</v>
      </c>
      <c r="B6" s="7" t="s">
        <v>60</v>
      </c>
      <c r="C6" s="7" t="s">
        <v>61</v>
      </c>
    </row>
    <row r="7" customFormat="false" ht="27.75" hidden="false" customHeight="true" outlineLevel="0" collapsed="false">
      <c r="A7" s="22" t="s">
        <v>3</v>
      </c>
      <c r="B7" s="4" t="s">
        <v>62</v>
      </c>
      <c r="C7" s="4" t="s">
        <v>63</v>
      </c>
    </row>
    <row r="8" customFormat="false" ht="27.75" hidden="false" customHeight="true" outlineLevel="0" collapsed="false">
      <c r="A8" s="23" t="s">
        <v>4</v>
      </c>
      <c r="B8" s="7" t="s">
        <v>64</v>
      </c>
      <c r="C8" s="7" t="s">
        <v>65</v>
      </c>
    </row>
    <row r="9" customFormat="false" ht="27.75" hidden="false" customHeight="true" outlineLevel="0" collapsed="false">
      <c r="A9" s="22" t="s">
        <v>5</v>
      </c>
      <c r="B9" s="4" t="s">
        <v>66</v>
      </c>
      <c r="C9" s="4" t="s">
        <v>67</v>
      </c>
    </row>
    <row r="10" customFormat="false" ht="27.75" hidden="false" customHeight="true" outlineLevel="0" collapsed="false">
      <c r="A10" s="23" t="s">
        <v>6</v>
      </c>
      <c r="B10" s="7" t="s">
        <v>68</v>
      </c>
      <c r="C10" s="7" t="s">
        <v>69</v>
      </c>
    </row>
    <row r="11" customFormat="false" ht="27.75" hidden="false" customHeight="true" outlineLevel="0" collapsed="false">
      <c r="A11" s="22" t="s">
        <v>7</v>
      </c>
      <c r="B11" s="4" t="s">
        <v>70</v>
      </c>
      <c r="C11" s="4" t="s">
        <v>71</v>
      </c>
    </row>
    <row r="12" customFormat="false" ht="27.75" hidden="false" customHeight="true" outlineLevel="0" collapsed="false">
      <c r="A12" s="23" t="s">
        <v>8</v>
      </c>
      <c r="B12" s="7" t="s">
        <v>72</v>
      </c>
      <c r="C12" s="7" t="s">
        <v>73</v>
      </c>
    </row>
    <row r="13" customFormat="false" ht="27.75" hidden="false" customHeight="true" outlineLevel="0" collapsed="false">
      <c r="A13" s="22" t="s">
        <v>9</v>
      </c>
      <c r="B13" s="4" t="s">
        <v>74</v>
      </c>
      <c r="C13" s="4" t="s">
        <v>75</v>
      </c>
    </row>
    <row r="14" customFormat="false" ht="27.75" hidden="false" customHeight="true" outlineLevel="0" collapsed="false">
      <c r="A14" s="23" t="s">
        <v>10</v>
      </c>
      <c r="B14" s="7" t="s">
        <v>76</v>
      </c>
      <c r="C14" s="7" t="s">
        <v>77</v>
      </c>
    </row>
    <row r="15" customFormat="false" ht="27.75" hidden="false" customHeight="true" outlineLevel="0" collapsed="false">
      <c r="A15" s="22" t="s">
        <v>11</v>
      </c>
      <c r="B15" s="4" t="s">
        <v>78</v>
      </c>
      <c r="C15" s="4" t="s">
        <v>79</v>
      </c>
    </row>
    <row r="16" customFormat="false" ht="27.75" hidden="false" customHeight="true" outlineLevel="0" collapsed="false">
      <c r="A16" s="23" t="s">
        <v>12</v>
      </c>
      <c r="B16" s="7" t="s">
        <v>80</v>
      </c>
      <c r="C16" s="7" t="s">
        <v>81</v>
      </c>
    </row>
    <row r="18" customFormat="false" ht="25.5" hidden="false" customHeight="true" outlineLevel="0" collapsed="false">
      <c r="A18" s="13" t="s">
        <v>82</v>
      </c>
      <c r="B18" s="13"/>
      <c r="C18" s="13"/>
    </row>
    <row r="19" customFormat="false" ht="25.5" hidden="false" customHeight="true" outlineLevel="0" collapsed="false">
      <c r="A19" s="22" t="s">
        <v>32</v>
      </c>
      <c r="B19" s="4" t="s">
        <v>83</v>
      </c>
      <c r="C19" s="4"/>
    </row>
    <row r="20" customFormat="false" ht="25.5" hidden="false" customHeight="true" outlineLevel="0" collapsed="false">
      <c r="A20" s="23" t="s">
        <v>18</v>
      </c>
      <c r="B20" s="7" t="s">
        <v>84</v>
      </c>
      <c r="C20" s="7"/>
    </row>
    <row r="21" customFormat="false" ht="25.5" hidden="false" customHeight="true" outlineLevel="0" collapsed="false">
      <c r="A21" s="22" t="s">
        <v>25</v>
      </c>
      <c r="B21" s="4" t="s">
        <v>85</v>
      </c>
      <c r="C21" s="4"/>
    </row>
    <row r="22" customFormat="false" ht="25.5" hidden="false" customHeight="true" outlineLevel="0" collapsed="false">
      <c r="A22" s="23" t="s">
        <v>42</v>
      </c>
      <c r="B22" s="7" t="s">
        <v>86</v>
      </c>
      <c r="C22" s="7"/>
    </row>
    <row r="24" customFormat="false" ht="25.5" hidden="false" customHeight="true" outlineLevel="0" collapsed="false">
      <c r="A24" s="13" t="s">
        <v>87</v>
      </c>
      <c r="B24" s="13"/>
      <c r="C24" s="13"/>
    </row>
    <row r="25" customFormat="false" ht="25.5" hidden="false" customHeight="true" outlineLevel="0" collapsed="false">
      <c r="A25" s="22" t="s">
        <v>16</v>
      </c>
      <c r="B25" s="4" t="s">
        <v>88</v>
      </c>
      <c r="C25" s="4"/>
    </row>
    <row r="26" customFormat="false" ht="25.5" hidden="false" customHeight="true" outlineLevel="0" collapsed="false">
      <c r="A26" s="23" t="s">
        <v>30</v>
      </c>
      <c r="B26" s="7" t="s">
        <v>89</v>
      </c>
      <c r="C26" s="7"/>
    </row>
    <row r="27" customFormat="false" ht="25.5" hidden="false" customHeight="true" outlineLevel="0" collapsed="false">
      <c r="A27" s="22" t="s">
        <v>48</v>
      </c>
      <c r="B27" s="4" t="s">
        <v>90</v>
      </c>
      <c r="C27" s="4"/>
    </row>
    <row r="29" customFormat="false" ht="25.5" hidden="false" customHeight="true" outlineLevel="0" collapsed="false">
      <c r="A29" s="13" t="s">
        <v>91</v>
      </c>
      <c r="B29" s="13"/>
      <c r="C29" s="13"/>
    </row>
    <row r="30" customFormat="false" ht="25.5" hidden="false" customHeight="true" outlineLevel="0" collapsed="false">
      <c r="A30" s="22" t="s">
        <v>15</v>
      </c>
      <c r="B30" s="4" t="s">
        <v>92</v>
      </c>
      <c r="C30" s="4"/>
    </row>
    <row r="31" customFormat="false" ht="25.5" hidden="false" customHeight="true" outlineLevel="0" collapsed="false">
      <c r="A31" s="23" t="s">
        <v>23</v>
      </c>
      <c r="B31" s="7" t="s">
        <v>93</v>
      </c>
      <c r="C31" s="7"/>
    </row>
    <row r="32" customFormat="false" ht="25.5" hidden="false" customHeight="true" outlineLevel="0" collapsed="false">
      <c r="A32" s="22" t="s">
        <v>29</v>
      </c>
      <c r="B32" s="4" t="s">
        <v>94</v>
      </c>
      <c r="C32" s="4"/>
    </row>
    <row r="33" customFormat="false" ht="25.5" hidden="false" customHeight="true" outlineLevel="0" collapsed="false">
      <c r="A33" s="23" t="s">
        <v>51</v>
      </c>
      <c r="B33" s="7" t="s">
        <v>95</v>
      </c>
      <c r="C33" s="7"/>
    </row>
    <row r="34" customFormat="false" ht="25.5" hidden="false" customHeight="true" outlineLevel="0" collapsed="false">
      <c r="A34" s="22" t="s">
        <v>52</v>
      </c>
      <c r="B34" s="4" t="s">
        <v>96</v>
      </c>
      <c r="C34" s="4"/>
    </row>
    <row r="36" customFormat="false" ht="25.5" hidden="false" customHeight="true" outlineLevel="0" collapsed="false">
      <c r="A36" s="13" t="s">
        <v>97</v>
      </c>
      <c r="B36" s="13"/>
      <c r="C36" s="13"/>
    </row>
    <row r="37" customFormat="false" ht="24" hidden="false" customHeight="true" outlineLevel="0" collapsed="false">
      <c r="A37" s="24" t="s">
        <v>98</v>
      </c>
      <c r="B37" s="24"/>
      <c r="C37" s="24"/>
    </row>
    <row r="38" customFormat="false" ht="24" hidden="false" customHeight="true" outlineLevel="0" collapsed="false">
      <c r="A38" s="24" t="s">
        <v>99</v>
      </c>
      <c r="B38" s="24"/>
      <c r="C38" s="24"/>
    </row>
    <row r="39" customFormat="false" ht="24" hidden="false" customHeight="true" outlineLevel="0" collapsed="false">
      <c r="A39" s="24" t="s">
        <v>100</v>
      </c>
      <c r="B39" s="24"/>
      <c r="C39" s="24"/>
    </row>
    <row r="40" customFormat="false" ht="24" hidden="false" customHeight="true" outlineLevel="0" collapsed="false">
      <c r="A40" s="24" t="s">
        <v>101</v>
      </c>
      <c r="B40" s="24"/>
      <c r="C40" s="24"/>
    </row>
    <row r="41" customFormat="false" ht="24" hidden="false" customHeight="true" outlineLevel="0" collapsed="false">
      <c r="A41" s="24" t="s">
        <v>102</v>
      </c>
      <c r="B41" s="24"/>
      <c r="C41" s="24"/>
    </row>
  </sheetData>
  <mergeCells count="23">
    <mergeCell ref="A1:C1"/>
    <mergeCell ref="A3:C3"/>
    <mergeCell ref="A18:C18"/>
    <mergeCell ref="B19:C19"/>
    <mergeCell ref="B20:C20"/>
    <mergeCell ref="B21:C21"/>
    <mergeCell ref="B22:C22"/>
    <mergeCell ref="A24:C24"/>
    <mergeCell ref="B25:C25"/>
    <mergeCell ref="B26:C26"/>
    <mergeCell ref="B27:C27"/>
    <mergeCell ref="A29:C29"/>
    <mergeCell ref="B30:C30"/>
    <mergeCell ref="B31:C31"/>
    <mergeCell ref="B32:C32"/>
    <mergeCell ref="B33:C33"/>
    <mergeCell ref="B34:C34"/>
    <mergeCell ref="A36:C36"/>
    <mergeCell ref="A37:C37"/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2026-08-04T00:53:43Z</dcterms:created>
  <dc:creator>openpyxl</dc:creator>
  <dc:description/>
  <dc:language>zh-CN</dc:language>
  <cp:lastModifiedBy/>
  <dcterms:modified xsi:type="dcterms:W3CDTF">2026-08-04T00:53:43Z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